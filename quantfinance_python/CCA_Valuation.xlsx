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rga/Downloads/quantfinance_python/"/>
    </mc:Choice>
  </mc:AlternateContent>
  <xr:revisionPtr revIDLastSave="0" documentId="13_ncr:1_{1DD43896-236C-5F42-9767-A90862A20D66}" xr6:coauthVersionLast="47" xr6:coauthVersionMax="47" xr10:uidLastSave="{00000000-0000-0000-0000-000000000000}"/>
  <bookViews>
    <workbookView xWindow="13120" yWindow="500" windowWidth="15660" windowHeight="16000" activeTab="1" xr2:uid="{00000000-000D-0000-FFFF-FFFF00000000}"/>
  </bookViews>
  <sheets>
    <sheet name="Cover Page" sheetId="1" r:id="rId1"/>
    <sheet name="St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6" roundtripDataSignature="AMtx7mgOX39VO1Cqr39cf32bUtMz7VRpxA=="/>
    </ext>
  </extLst>
</workbook>
</file>

<file path=xl/calcChain.xml><?xml version="1.0" encoding="utf-8"?>
<calcChain xmlns="http://schemas.openxmlformats.org/spreadsheetml/2006/main">
  <c r="R26" i="2" l="1"/>
  <c r="Q26" i="2"/>
  <c r="P22" i="2"/>
  <c r="P23" i="2"/>
  <c r="P26" i="2"/>
  <c r="P25" i="2"/>
  <c r="P24" i="2"/>
  <c r="O25" i="2"/>
  <c r="N25" i="2"/>
  <c r="N26" i="2" s="1"/>
  <c r="O22" i="2"/>
  <c r="O23" i="2"/>
  <c r="O24" i="2"/>
  <c r="N24" i="2"/>
  <c r="N23" i="2"/>
  <c r="N22" i="2"/>
  <c r="O14" i="2"/>
  <c r="P14" i="2"/>
  <c r="O15" i="2"/>
  <c r="P15" i="2"/>
  <c r="O16" i="2"/>
  <c r="P16" i="2"/>
  <c r="O17" i="2"/>
  <c r="P17" i="2"/>
  <c r="O18" i="2"/>
  <c r="P18" i="2"/>
  <c r="O19" i="2"/>
  <c r="P19" i="2"/>
  <c r="N14" i="2"/>
  <c r="N19" i="2"/>
  <c r="N18" i="2"/>
  <c r="N17" i="2"/>
  <c r="N16" i="2"/>
  <c r="N15" i="2"/>
  <c r="H8" i="2"/>
  <c r="H7" i="2"/>
  <c r="P12" i="2"/>
  <c r="P11" i="2"/>
  <c r="P10" i="2"/>
  <c r="P9" i="2"/>
  <c r="P8" i="2"/>
  <c r="P7" i="2"/>
  <c r="O12" i="2"/>
  <c r="O11" i="2"/>
  <c r="O10" i="2"/>
  <c r="O9" i="2"/>
  <c r="O8" i="2"/>
  <c r="O7" i="2"/>
  <c r="N12" i="2"/>
  <c r="N11" i="2"/>
  <c r="N10" i="2"/>
  <c r="N9" i="2"/>
  <c r="N8" i="2"/>
  <c r="N7" i="2"/>
  <c r="H12" i="2"/>
  <c r="H11" i="2"/>
  <c r="H10" i="2"/>
  <c r="H9" i="2"/>
  <c r="F12" i="2"/>
  <c r="F11" i="2"/>
  <c r="F10" i="2"/>
  <c r="F9" i="2"/>
  <c r="F8" i="2"/>
  <c r="F7" i="2"/>
  <c r="O26" i="2" l="1"/>
</calcChain>
</file>

<file path=xl/sharedStrings.xml><?xml version="1.0" encoding="utf-8"?>
<sst xmlns="http://schemas.openxmlformats.org/spreadsheetml/2006/main" count="53" uniqueCount="48">
  <si>
    <t>Comparable Companies Valuation</t>
  </si>
  <si>
    <r>
      <rPr>
        <sz val="16"/>
        <color theme="1"/>
        <rFont val="Calibri"/>
      </rPr>
      <t>Get $50</t>
    </r>
    <r>
      <rPr>
        <b/>
        <sz val="16"/>
        <color theme="1"/>
        <rFont val="Calibri"/>
      </rPr>
      <t xml:space="preserve"> OFF</t>
    </r>
    <r>
      <rPr>
        <sz val="16"/>
        <color theme="1"/>
        <rFont val="Calibri"/>
      </rPr>
      <t xml:space="preserve"> our Complete Finance &amp; Valuation Course using coupon code </t>
    </r>
    <r>
      <rPr>
        <b/>
        <sz val="16"/>
        <color theme="1"/>
        <rFont val="Calibri"/>
      </rPr>
      <t>EARLYFINANCE</t>
    </r>
  </si>
  <si>
    <t>Get Our Complete Finance &amp; Valuation Course</t>
  </si>
  <si>
    <t>Made by Career Principles x Kenji Explains</t>
  </si>
  <si>
    <t>Note</t>
  </si>
  <si>
    <t>All content is copyright material of Career Principles x Kenji Explains.</t>
  </si>
  <si>
    <t>This Excel model may not be reproduced or distributed by any means, including printing, 
screencapturing, or any other method without the prior permission of the publisher.</t>
  </si>
  <si>
    <t>Comparable Companies Analysis</t>
  </si>
  <si>
    <t>Market Data</t>
  </si>
  <si>
    <t>Financials</t>
  </si>
  <si>
    <t>Valuation</t>
  </si>
  <si>
    <t>Company</t>
  </si>
  <si>
    <t>Ticker</t>
  </si>
  <si>
    <t>Share 
Price</t>
  </si>
  <si>
    <t>Shares Outstanding</t>
  </si>
  <si>
    <t>Equity Value</t>
  </si>
  <si>
    <t>Net Debt</t>
  </si>
  <si>
    <t>Enterprise 
Value</t>
  </si>
  <si>
    <t>Revenue</t>
  </si>
  <si>
    <t>EBITDA</t>
  </si>
  <si>
    <t>Net Income</t>
  </si>
  <si>
    <t>EV/Revenue</t>
  </si>
  <si>
    <t>EV/EBITDA</t>
  </si>
  <si>
    <t>P/E</t>
  </si>
  <si>
    <t>Enjoy Lemon</t>
  </si>
  <si>
    <t>EYL</t>
  </si>
  <si>
    <t>Lemonly</t>
  </si>
  <si>
    <t>LMY</t>
  </si>
  <si>
    <t>The Lemon Co.</t>
  </si>
  <si>
    <t>TLNC</t>
  </si>
  <si>
    <t>Lemonicious</t>
  </si>
  <si>
    <t>LMCS</t>
  </si>
  <si>
    <t>Light Lemon</t>
  </si>
  <si>
    <t>LL</t>
  </si>
  <si>
    <t>Lemon World</t>
  </si>
  <si>
    <t>LNWD</t>
  </si>
  <si>
    <t>High</t>
  </si>
  <si>
    <t>75th Percentile</t>
  </si>
  <si>
    <t>Average</t>
  </si>
  <si>
    <t>Median</t>
  </si>
  <si>
    <t>25th Percentile</t>
  </si>
  <si>
    <t>Low</t>
  </si>
  <si>
    <t>Enjoy Lemon Valuation</t>
  </si>
  <si>
    <t>Implied Enterprise Value</t>
  </si>
  <si>
    <t>Implied Market Value</t>
  </si>
  <si>
    <t>Implied Value Per Share</t>
  </si>
  <si>
    <t xml:space="preserve">Percentage Difference </t>
  </si>
  <si>
    <t xml:space="preserve">Avg f the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</si>
</sst>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_-* #,##0_-;\-* #,##0_-;_-* &quot;-&quot;??_-;_-@"/>
    <numFmt numFmtId="166" formatCode="#,##0.0\x"/>
    <numFmt numFmtId="167" formatCode="_-* #,##0.00\ _€_-;\-* #,##0.00\ _€_-;_-* &quot;-&quot;??\ _€_-;_-@"/>
  </numFmts>
  <fonts count="1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</font>
    <font>
      <b/>
      <sz val="50"/>
      <color theme="1"/>
      <name val="Calibri"/>
    </font>
    <font>
      <sz val="16"/>
      <color theme="1"/>
      <name val="Calibri"/>
    </font>
    <font>
      <i/>
      <u/>
      <sz val="14"/>
      <color rgb="FF1155CC"/>
      <name val="Calibri"/>
    </font>
    <font>
      <b/>
      <sz val="11"/>
      <color theme="1"/>
      <name val="Calibri"/>
    </font>
    <font>
      <sz val="12"/>
      <color theme="1"/>
      <name val="Calibri"/>
      <scheme val="minor"/>
    </font>
    <font>
      <b/>
      <sz val="18"/>
      <color rgb="FF293D68"/>
      <name val="Calibri"/>
    </font>
    <font>
      <b/>
      <sz val="12"/>
      <color theme="0"/>
      <name val="Calibri"/>
    </font>
    <font>
      <sz val="12"/>
      <name val="Calibri"/>
    </font>
    <font>
      <sz val="12"/>
      <color rgb="FF0432FF"/>
      <name val="Calibri"/>
    </font>
    <font>
      <b/>
      <sz val="12"/>
      <color theme="1"/>
      <name val="Calibri"/>
    </font>
    <font>
      <b/>
      <sz val="12"/>
      <color rgb="FF0432FF"/>
      <name val="Calibri"/>
    </font>
    <font>
      <b/>
      <sz val="16"/>
      <color theme="1"/>
      <name val="Calibri"/>
    </font>
    <font>
      <u/>
      <sz val="12"/>
      <color theme="10"/>
      <name val="Calibri"/>
      <scheme val="minor"/>
    </font>
    <font>
      <u/>
      <sz val="20"/>
      <color theme="10"/>
      <name val="Calibri"/>
      <family val="2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293D68"/>
        <bgColor rgb="FF293D68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293D6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/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0" xfId="0" applyFont="1"/>
    <xf numFmtId="0" fontId="2" fillId="0" borderId="0" xfId="0" applyFont="1"/>
    <xf numFmtId="0" fontId="2" fillId="2" borderId="1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6" fillId="0" borderId="8" xfId="0" applyFont="1" applyBorder="1"/>
    <xf numFmtId="0" fontId="7" fillId="0" borderId="0" xfId="0" applyFont="1"/>
    <xf numFmtId="0" fontId="2" fillId="0" borderId="0" xfId="0" applyFont="1" applyAlignment="1">
      <alignment vertical="top" wrapText="1"/>
    </xf>
    <xf numFmtId="0" fontId="2" fillId="0" borderId="9" xfId="0" applyFont="1" applyBorder="1"/>
    <xf numFmtId="0" fontId="2" fillId="0" borderId="8" xfId="0" applyFont="1" applyBorder="1"/>
    <xf numFmtId="0" fontId="2" fillId="0" borderId="10" xfId="0" applyFont="1" applyBorder="1"/>
    <xf numFmtId="0" fontId="8" fillId="0" borderId="11" xfId="0" applyFont="1" applyBorder="1"/>
    <xf numFmtId="0" fontId="2" fillId="0" borderId="11" xfId="0" applyFont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164" fontId="11" fillId="2" borderId="16" xfId="0" applyNumberFormat="1" applyFont="1" applyFill="1" applyBorder="1"/>
    <xf numFmtId="165" fontId="11" fillId="2" borderId="16" xfId="0" applyNumberFormat="1" applyFont="1" applyFill="1" applyBorder="1"/>
    <xf numFmtId="165" fontId="2" fillId="2" borderId="16" xfId="0" applyNumberFormat="1" applyFont="1" applyFill="1" applyBorder="1"/>
    <xf numFmtId="166" fontId="2" fillId="2" borderId="16" xfId="0" applyNumberFormat="1" applyFont="1" applyFill="1" applyBorder="1"/>
    <xf numFmtId="166" fontId="2" fillId="2" borderId="17" xfId="0" applyNumberFormat="1" applyFont="1" applyFill="1" applyBorder="1"/>
    <xf numFmtId="0" fontId="2" fillId="0" borderId="0" xfId="0" applyFont="1" applyAlignment="1">
      <alignment horizontal="center"/>
    </xf>
    <xf numFmtId="164" fontId="11" fillId="0" borderId="0" xfId="0" applyNumberFormat="1" applyFont="1"/>
    <xf numFmtId="165" fontId="11" fillId="0" borderId="0" xfId="0" applyNumberFormat="1" applyFont="1"/>
    <xf numFmtId="165" fontId="2" fillId="0" borderId="0" xfId="0" applyNumberFormat="1" applyFont="1"/>
    <xf numFmtId="166" fontId="2" fillId="2" borderId="1" xfId="0" applyNumberFormat="1" applyFont="1" applyFill="1" applyBorder="1"/>
    <xf numFmtId="0" fontId="12" fillId="2" borderId="1" xfId="0" applyFont="1" applyFill="1" applyBorder="1"/>
    <xf numFmtId="166" fontId="12" fillId="2" borderId="1" xfId="0" applyNumberFormat="1" applyFont="1" applyFill="1" applyBorder="1"/>
    <xf numFmtId="0" fontId="2" fillId="4" borderId="1" xfId="0" applyFont="1" applyFill="1" applyBorder="1"/>
    <xf numFmtId="167" fontId="2" fillId="0" borderId="0" xfId="0" applyNumberFormat="1" applyFont="1"/>
    <xf numFmtId="0" fontId="12" fillId="2" borderId="18" xfId="0" applyFont="1" applyFill="1" applyBorder="1"/>
    <xf numFmtId="167" fontId="12" fillId="2" borderId="18" xfId="0" applyNumberFormat="1" applyFont="1" applyFill="1" applyBorder="1"/>
    <xf numFmtId="165" fontId="13" fillId="2" borderId="18" xfId="0" applyNumberFormat="1" applyFont="1" applyFill="1" applyBorder="1"/>
    <xf numFmtId="164" fontId="12" fillId="2" borderId="18" xfId="0" applyNumberFormat="1" applyFont="1" applyFill="1" applyBorder="1"/>
    <xf numFmtId="0" fontId="16" fillId="3" borderId="7" xfId="1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0" fontId="17" fillId="2" borderId="15" xfId="0" applyFont="1" applyFill="1" applyBorder="1"/>
    <xf numFmtId="164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3829050</xdr:colOff>
      <xdr:row>9</xdr:row>
      <xdr:rowOff>190500</xdr:rowOff>
    </xdr:from>
    <xdr:ext cx="2886075" cy="8286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" TargetMode="External"/><Relationship Id="rId1" Type="http://schemas.openxmlformats.org/officeDocument/2006/relationships/hyperlink" Target="https://www.careerprinciples.com/courses/finance-valuation-course?utm_source=YTDownloadFile&amp;utm_medium=comparable-company-analysis-apr-3-2022&amp;utm_campaign=YTDownloa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showGridLines="0" topLeftCell="L1" workbookViewId="0">
      <selection activeCell="I15" sqref="I15"/>
    </sheetView>
  </sheetViews>
  <sheetFormatPr baseColWidth="10" defaultColWidth="11.1640625" defaultRowHeight="15" customHeight="1"/>
  <cols>
    <col min="1" max="1" width="10.6640625" customWidth="1"/>
    <col min="2" max="2" width="8.5" customWidth="1"/>
    <col min="3" max="3" width="124.1640625" customWidth="1"/>
    <col min="4" max="4" width="9.5" customWidth="1"/>
    <col min="5" max="26" width="10.6640625" customWidth="1"/>
  </cols>
  <sheetData>
    <row r="1" spans="1:26" ht="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3.5" customHeight="1">
      <c r="A4" s="1"/>
      <c r="B4" s="2"/>
      <c r="C4" s="3" t="s">
        <v>0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>
      <c r="A5" s="1"/>
      <c r="B5" s="5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>
      <c r="A6" s="1"/>
      <c r="B6" s="5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>
      <c r="A7" s="1"/>
      <c r="B7" s="5"/>
      <c r="C7" s="7" t="s">
        <v>1</v>
      </c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>
      <c r="A8" s="1"/>
      <c r="B8" s="5"/>
      <c r="C8" s="8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9"/>
      <c r="B9" s="10"/>
      <c r="C9" s="48" t="s">
        <v>2</v>
      </c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6">
      <c r="A10" s="1"/>
      <c r="B10" s="5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>
      <c r="A11" s="1"/>
      <c r="B11" s="5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>
      <c r="A12" s="1"/>
      <c r="B12" s="5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>
      <c r="A13" s="1"/>
      <c r="B13" s="5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>
      <c r="A14" s="1"/>
      <c r="B14" s="5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>
      <c r="A15" s="1"/>
      <c r="B15" s="5"/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.25" customHeight="1">
      <c r="A16" s="1"/>
      <c r="B16" s="5"/>
      <c r="C16" s="12" t="s">
        <v>3</v>
      </c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>
      <c r="A17" s="1"/>
      <c r="B17" s="5"/>
      <c r="C17" s="13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>
      <c r="A18" s="1"/>
      <c r="B18" s="5"/>
      <c r="C18" s="14" t="s">
        <v>4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>
      <c r="A19" s="1"/>
      <c r="B19" s="5"/>
      <c r="C19" s="15" t="s">
        <v>5</v>
      </c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">
      <c r="A20" s="1"/>
      <c r="B20" s="5"/>
      <c r="C20" s="16" t="s">
        <v>6</v>
      </c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>
      <c r="A21" s="1"/>
      <c r="B21" s="17"/>
      <c r="C21" s="18"/>
      <c r="D21" s="1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sheetProtection algorithmName="SHA-512" hashValue="45Z3Xc5lAUQu+NEBfrVu8susBJL9B+m2S/fgzcPN454JzUITYgPO79Rs8ZWY3RBFMu/uWNVv8oamVCVyARe/Jg==" saltValue="yTJz19lyinRUFWp8qovoWw==" spinCount="100000" sheet="1" objects="1" scenarios="1"/>
  <hyperlinks>
    <hyperlink ref="C9" r:id="rId1" xr:uid="{00000000-0004-0000-0000-000000000000}"/>
    <hyperlink ref="C16" r:id="rId2" xr:uid="{00000000-0004-0000-0000-000001000000}"/>
  </hyperlinks>
  <pageMargins left="0.7" right="0.7" top="0.75" bottom="0.75" header="0" footer="0"/>
  <pageSetup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0"/>
  <sheetViews>
    <sheetView showGridLines="0" tabSelected="1" zoomScale="63" workbookViewId="0">
      <selection activeCell="O32" sqref="O32"/>
    </sheetView>
  </sheetViews>
  <sheetFormatPr baseColWidth="10" defaultColWidth="11.1640625" defaultRowHeight="15" customHeight="1"/>
  <cols>
    <col min="1" max="1" width="10.6640625" customWidth="1"/>
    <col min="2" max="3" width="14.1640625" customWidth="1"/>
    <col min="4" max="4" width="10.33203125" customWidth="1"/>
    <col min="5" max="5" width="11.5" customWidth="1"/>
    <col min="6" max="7" width="11.33203125" customWidth="1"/>
    <col min="8" max="8" width="10.6640625" customWidth="1"/>
    <col min="9" max="9" width="3.6640625" customWidth="1"/>
    <col min="10" max="10" width="11.5" customWidth="1"/>
    <col min="11" max="12" width="10.6640625" customWidth="1"/>
    <col min="13" max="13" width="3.6640625" customWidth="1"/>
    <col min="14" max="14" width="11.5" customWidth="1"/>
    <col min="15" max="26" width="10.6640625" customWidth="1"/>
  </cols>
  <sheetData>
    <row r="1" spans="2:16" ht="16"/>
    <row r="2" spans="2:16" ht="24">
      <c r="B2" s="20" t="s">
        <v>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2:16" ht="16"/>
    <row r="4" spans="2:16" ht="16">
      <c r="B4" s="22"/>
      <c r="C4" s="22"/>
      <c r="D4" s="49" t="s">
        <v>8</v>
      </c>
      <c r="E4" s="50"/>
      <c r="F4" s="50"/>
      <c r="G4" s="50"/>
      <c r="H4" s="51"/>
      <c r="I4" s="22"/>
      <c r="J4" s="49" t="s">
        <v>9</v>
      </c>
      <c r="K4" s="50"/>
      <c r="L4" s="51"/>
      <c r="M4" s="22"/>
      <c r="N4" s="49" t="s">
        <v>10</v>
      </c>
      <c r="O4" s="50"/>
      <c r="P4" s="51"/>
    </row>
    <row r="5" spans="2:16" ht="34">
      <c r="B5" s="23" t="s">
        <v>11</v>
      </c>
      <c r="C5" s="23" t="s">
        <v>12</v>
      </c>
      <c r="D5" s="24" t="s">
        <v>13</v>
      </c>
      <c r="E5" s="24" t="s">
        <v>14</v>
      </c>
      <c r="F5" s="24" t="s">
        <v>15</v>
      </c>
      <c r="G5" s="24" t="s">
        <v>16</v>
      </c>
      <c r="H5" s="24" t="s">
        <v>17</v>
      </c>
      <c r="I5" s="25"/>
      <c r="J5" s="25" t="s">
        <v>18</v>
      </c>
      <c r="K5" s="25" t="s">
        <v>19</v>
      </c>
      <c r="L5" s="25" t="s">
        <v>20</v>
      </c>
      <c r="M5" s="25"/>
      <c r="N5" s="25" t="s">
        <v>21</v>
      </c>
      <c r="O5" s="25" t="s">
        <v>22</v>
      </c>
      <c r="P5" s="25" t="s">
        <v>23</v>
      </c>
    </row>
    <row r="6" spans="2:16" ht="9" customHeight="1">
      <c r="B6" s="26"/>
      <c r="C6" s="26"/>
      <c r="D6" s="27"/>
      <c r="E6" s="27"/>
      <c r="F6" s="27"/>
      <c r="G6" s="27"/>
      <c r="H6" s="27"/>
      <c r="I6" s="28"/>
      <c r="J6" s="28"/>
      <c r="K6" s="28"/>
      <c r="L6" s="28"/>
      <c r="M6" s="28"/>
      <c r="N6" s="28"/>
      <c r="O6" s="28"/>
      <c r="P6" s="28"/>
    </row>
    <row r="7" spans="2:16" ht="16">
      <c r="B7" s="52" t="s">
        <v>24</v>
      </c>
      <c r="C7" s="29" t="s">
        <v>25</v>
      </c>
      <c r="D7" s="30">
        <v>11.44</v>
      </c>
      <c r="E7" s="31">
        <v>125</v>
      </c>
      <c r="F7" s="32">
        <f>D7*E7</f>
        <v>1430</v>
      </c>
      <c r="G7" s="31">
        <v>740</v>
      </c>
      <c r="H7" s="32">
        <f>F7+G7</f>
        <v>2170</v>
      </c>
      <c r="I7" s="31"/>
      <c r="J7" s="31">
        <v>845</v>
      </c>
      <c r="K7" s="31">
        <v>305</v>
      </c>
      <c r="L7" s="31">
        <v>135</v>
      </c>
      <c r="M7" s="32"/>
      <c r="N7" s="33">
        <f>$H7/J7</f>
        <v>2.5680473372781063</v>
      </c>
      <c r="O7" s="33">
        <f>$H7/K7</f>
        <v>7.1147540983606561</v>
      </c>
      <c r="P7" s="34">
        <f>F7/L7</f>
        <v>10.592592592592593</v>
      </c>
    </row>
    <row r="8" spans="2:16" ht="16">
      <c r="B8" s="15" t="s">
        <v>26</v>
      </c>
      <c r="C8" s="35" t="s">
        <v>27</v>
      </c>
      <c r="D8" s="36">
        <v>8.43</v>
      </c>
      <c r="E8" s="37">
        <v>150</v>
      </c>
      <c r="F8" s="32">
        <f t="shared" ref="F8:F12" si="0">D8*E8</f>
        <v>1264.5</v>
      </c>
      <c r="G8" s="37">
        <v>600</v>
      </c>
      <c r="H8" s="32">
        <f>F8+G8</f>
        <v>1864.5</v>
      </c>
      <c r="I8" s="37"/>
      <c r="J8" s="37">
        <v>678</v>
      </c>
      <c r="K8" s="37">
        <v>220</v>
      </c>
      <c r="L8" s="37">
        <v>109</v>
      </c>
      <c r="M8" s="38"/>
      <c r="N8" s="33">
        <f t="shared" ref="N8:N12" si="1">$H8/J8</f>
        <v>2.75</v>
      </c>
      <c r="O8" s="33">
        <f t="shared" ref="O8:O12" si="2">$H8/K8</f>
        <v>8.4749999999999996</v>
      </c>
      <c r="P8" s="34">
        <f t="shared" ref="P8:P12" si="3">F8/L8</f>
        <v>11.600917431192661</v>
      </c>
    </row>
    <row r="9" spans="2:16" ht="16">
      <c r="B9" s="15" t="s">
        <v>28</v>
      </c>
      <c r="C9" s="35" t="s">
        <v>29</v>
      </c>
      <c r="D9" s="36">
        <v>3.19</v>
      </c>
      <c r="E9" s="37">
        <v>350</v>
      </c>
      <c r="F9" s="32">
        <f t="shared" si="0"/>
        <v>1116.5</v>
      </c>
      <c r="G9" s="37">
        <v>414</v>
      </c>
      <c r="H9" s="32">
        <f t="shared" ref="H8:H12" si="4">F9+G9</f>
        <v>1530.5</v>
      </c>
      <c r="I9" s="37"/>
      <c r="J9" s="37">
        <v>505</v>
      </c>
      <c r="K9" s="37">
        <v>253</v>
      </c>
      <c r="L9" s="37">
        <v>112</v>
      </c>
      <c r="M9" s="38"/>
      <c r="N9" s="33">
        <f t="shared" si="1"/>
        <v>3.0306930693069307</v>
      </c>
      <c r="O9" s="33">
        <f t="shared" si="2"/>
        <v>6.0494071146245059</v>
      </c>
      <c r="P9" s="34">
        <f t="shared" si="3"/>
        <v>9.96875</v>
      </c>
    </row>
    <row r="10" spans="2:16" ht="16">
      <c r="B10" s="15" t="s">
        <v>30</v>
      </c>
      <c r="C10" s="35" t="s">
        <v>31</v>
      </c>
      <c r="D10" s="36">
        <v>7.6510000000000007</v>
      </c>
      <c r="E10" s="37">
        <v>175</v>
      </c>
      <c r="F10" s="32">
        <f t="shared" si="0"/>
        <v>1338.9250000000002</v>
      </c>
      <c r="G10" s="37">
        <v>936</v>
      </c>
      <c r="H10" s="32">
        <f t="shared" si="4"/>
        <v>2274.9250000000002</v>
      </c>
      <c r="I10" s="37"/>
      <c r="J10" s="37">
        <v>1045</v>
      </c>
      <c r="K10" s="37">
        <v>287</v>
      </c>
      <c r="L10" s="37">
        <v>148</v>
      </c>
      <c r="M10" s="38"/>
      <c r="N10" s="33">
        <f t="shared" si="1"/>
        <v>2.1769617224880387</v>
      </c>
      <c r="O10" s="33">
        <f t="shared" si="2"/>
        <v>7.9265679442508716</v>
      </c>
      <c r="P10" s="34">
        <f t="shared" si="3"/>
        <v>9.0467905405405418</v>
      </c>
    </row>
    <row r="11" spans="2:16" ht="16">
      <c r="B11" s="15" t="s">
        <v>32</v>
      </c>
      <c r="C11" s="35" t="s">
        <v>33</v>
      </c>
      <c r="D11" s="36">
        <v>23.544999999999998</v>
      </c>
      <c r="E11" s="37">
        <v>75</v>
      </c>
      <c r="F11" s="32">
        <f t="shared" si="0"/>
        <v>1765.8749999999998</v>
      </c>
      <c r="G11" s="37">
        <v>948</v>
      </c>
      <c r="H11" s="32">
        <f t="shared" si="4"/>
        <v>2713.875</v>
      </c>
      <c r="I11" s="37"/>
      <c r="J11" s="37">
        <v>1181.44</v>
      </c>
      <c r="K11" s="37">
        <v>349</v>
      </c>
      <c r="L11" s="37">
        <v>237</v>
      </c>
      <c r="M11" s="38"/>
      <c r="N11" s="33">
        <f t="shared" si="1"/>
        <v>2.2970908382990247</v>
      </c>
      <c r="O11" s="33">
        <f t="shared" si="2"/>
        <v>7.7761461318051577</v>
      </c>
      <c r="P11" s="34">
        <f t="shared" si="3"/>
        <v>7.4509493670886062</v>
      </c>
    </row>
    <row r="12" spans="2:16" ht="16">
      <c r="B12" s="15" t="s">
        <v>34</v>
      </c>
      <c r="C12" s="35" t="s">
        <v>35</v>
      </c>
      <c r="D12" s="36">
        <v>12.770999999999999</v>
      </c>
      <c r="E12" s="37">
        <v>100</v>
      </c>
      <c r="F12" s="32">
        <f t="shared" si="0"/>
        <v>1277.0999999999999</v>
      </c>
      <c r="G12" s="37">
        <v>300</v>
      </c>
      <c r="H12" s="32">
        <f t="shared" si="4"/>
        <v>1577.1</v>
      </c>
      <c r="I12" s="37"/>
      <c r="J12" s="37">
        <v>1411.48</v>
      </c>
      <c r="K12" s="37">
        <v>407</v>
      </c>
      <c r="L12" s="37">
        <v>279</v>
      </c>
      <c r="M12" s="38"/>
      <c r="N12" s="33">
        <f t="shared" si="1"/>
        <v>1.1173378297956753</v>
      </c>
      <c r="O12" s="33">
        <f t="shared" si="2"/>
        <v>3.8749385749385747</v>
      </c>
      <c r="P12" s="34">
        <f t="shared" si="3"/>
        <v>4.5774193548387094</v>
      </c>
    </row>
    <row r="13" spans="2:16" ht="16">
      <c r="E13" s="38"/>
    </row>
    <row r="14" spans="2:16" ht="16">
      <c r="B14" s="1" t="s">
        <v>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39">
        <f>MAX(N7:N12)</f>
        <v>3.0306930693069307</v>
      </c>
      <c r="O14" s="39">
        <f t="shared" ref="O14:P14" si="5">MAX(O7:O12)</f>
        <v>8.4749999999999996</v>
      </c>
      <c r="P14" s="39">
        <f t="shared" si="5"/>
        <v>11.600917431192661</v>
      </c>
    </row>
    <row r="15" spans="2:16" ht="16">
      <c r="B15" s="1" t="s">
        <v>37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39">
        <f>QUARTILE(N8:N12,3)</f>
        <v>2.75</v>
      </c>
      <c r="O15" s="39">
        <f t="shared" ref="O15:P15" si="6">QUARTILE(O8:O12,3)</f>
        <v>7.9265679442508716</v>
      </c>
      <c r="P15" s="39">
        <f t="shared" si="6"/>
        <v>9.96875</v>
      </c>
    </row>
    <row r="16" spans="2:16" ht="16">
      <c r="B16" s="40" t="s">
        <v>38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>
        <f>AVERAGE(N8:N12)</f>
        <v>2.2744166919779341</v>
      </c>
      <c r="O16" s="41">
        <f t="shared" ref="O16:P16" si="7">AVERAGE(O8:O12)</f>
        <v>6.8204119531238216</v>
      </c>
      <c r="P16" s="41">
        <f t="shared" si="7"/>
        <v>8.5289653387321032</v>
      </c>
    </row>
    <row r="17" spans="2:18" ht="16">
      <c r="B17" s="40" t="s">
        <v>39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>
        <f>MEDIAN(N8:N12)</f>
        <v>2.2970908382990247</v>
      </c>
      <c r="O17" s="41">
        <f t="shared" ref="O17:P17" si="8">MEDIAN(O8:O12)</f>
        <v>7.7761461318051577</v>
      </c>
      <c r="P17" s="41">
        <f t="shared" si="8"/>
        <v>9.0467905405405418</v>
      </c>
    </row>
    <row r="18" spans="2:18" ht="16">
      <c r="B18" s="1" t="s">
        <v>40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39">
        <f>QUARTILE(N8:N12,1)</f>
        <v>2.1769617224880387</v>
      </c>
      <c r="O18" s="39">
        <f t="shared" ref="O18:P18" si="9">QUARTILE(O8:O12,1)</f>
        <v>6.0494071146245059</v>
      </c>
      <c r="P18" s="39">
        <f t="shared" si="9"/>
        <v>7.4509493670886062</v>
      </c>
    </row>
    <row r="19" spans="2:18" ht="16">
      <c r="B19" s="1" t="s">
        <v>41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9">
        <f>MIN(N8:N12)</f>
        <v>1.1173378297956753</v>
      </c>
      <c r="O19" s="39">
        <f t="shared" ref="O19:P19" si="10">MIN(O8:O12)</f>
        <v>3.8749385749385747</v>
      </c>
      <c r="P19" s="39">
        <f t="shared" si="10"/>
        <v>4.5774193548387094</v>
      </c>
    </row>
    <row r="20" spans="2:18" ht="16"/>
    <row r="21" spans="2:18" ht="16">
      <c r="B21" s="22" t="s">
        <v>42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25" t="s">
        <v>21</v>
      </c>
      <c r="O21" s="25" t="s">
        <v>22</v>
      </c>
      <c r="P21" s="25" t="s">
        <v>23</v>
      </c>
    </row>
    <row r="22" spans="2:18" ht="16">
      <c r="B22" s="15" t="s">
        <v>43</v>
      </c>
      <c r="J22" s="43"/>
      <c r="N22" s="38">
        <f>N17*J7</f>
        <v>1941.0417583626759</v>
      </c>
      <c r="O22" s="38">
        <f>O17*K7</f>
        <v>2371.724570200573</v>
      </c>
      <c r="P22" s="38">
        <f>P23+P24</f>
        <v>1961.3167229729731</v>
      </c>
    </row>
    <row r="23" spans="2:18" ht="16">
      <c r="B23" s="15" t="s">
        <v>16</v>
      </c>
      <c r="G23" s="37"/>
      <c r="J23" s="43"/>
      <c r="N23" s="38">
        <f>$G7</f>
        <v>740</v>
      </c>
      <c r="O23" s="38">
        <f>$G7</f>
        <v>740</v>
      </c>
      <c r="P23" s="38">
        <f t="shared" ref="P23" si="11">$G7</f>
        <v>740</v>
      </c>
    </row>
    <row r="24" spans="2:18" ht="16">
      <c r="B24" s="15" t="s">
        <v>44</v>
      </c>
      <c r="G24" s="37"/>
      <c r="J24" s="43"/>
      <c r="N24" s="38">
        <f>N22-N23</f>
        <v>1201.0417583626759</v>
      </c>
      <c r="O24" s="38">
        <f>O22-O23</f>
        <v>1631.724570200573</v>
      </c>
      <c r="P24" s="38">
        <f>P17*L7</f>
        <v>1221.3167229729731</v>
      </c>
    </row>
    <row r="25" spans="2:18" ht="16">
      <c r="B25" s="15" t="s">
        <v>14</v>
      </c>
      <c r="G25" s="37"/>
      <c r="N25" s="38">
        <f>$E$7</f>
        <v>125</v>
      </c>
      <c r="O25" s="38">
        <f>$E7</f>
        <v>125</v>
      </c>
      <c r="P25" s="38">
        <f t="shared" ref="P25" si="12">$E7</f>
        <v>125</v>
      </c>
      <c r="Q25" s="54" t="s">
        <v>47</v>
      </c>
      <c r="R25" s="54" t="s">
        <v>46</v>
      </c>
    </row>
    <row r="26" spans="2:18" ht="16">
      <c r="B26" s="44" t="s">
        <v>45</v>
      </c>
      <c r="C26" s="44"/>
      <c r="D26" s="45"/>
      <c r="E26" s="45"/>
      <c r="F26" s="44"/>
      <c r="G26" s="46"/>
      <c r="H26" s="44"/>
      <c r="I26" s="44"/>
      <c r="J26" s="44"/>
      <c r="K26" s="44"/>
      <c r="L26" s="44"/>
      <c r="M26" s="44"/>
      <c r="N26" s="47">
        <f>N24/N25</f>
        <v>9.6083340669014063</v>
      </c>
      <c r="O26" s="47">
        <f>O24/O25</f>
        <v>13.053796561604583</v>
      </c>
      <c r="P26" s="47">
        <f t="shared" ref="P26" si="13">P24/P25</f>
        <v>9.7705337837837849</v>
      </c>
      <c r="Q26" s="53">
        <f>AVERAGE(N26,N26:P26)</f>
        <v>10.510249619797795</v>
      </c>
      <c r="R26">
        <f>((D7-Q26)/Q26)*100</f>
        <v>8.8461303378643397</v>
      </c>
    </row>
    <row r="27" spans="2:18" ht="16">
      <c r="D27" s="43"/>
      <c r="E27" s="43"/>
      <c r="G27" s="37"/>
    </row>
    <row r="28" spans="2:18" ht="16">
      <c r="D28" s="43"/>
      <c r="E28" s="43"/>
      <c r="G28" s="37"/>
    </row>
    <row r="29" spans="2:18" ht="16">
      <c r="D29" s="43"/>
      <c r="E29" s="43"/>
    </row>
    <row r="30" spans="2:18" ht="16">
      <c r="D30" s="43"/>
      <c r="E30" s="43"/>
    </row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2021-12-06T10:27:27Z</dcterms:created>
  <dcterms:modified xsi:type="dcterms:W3CDTF">2023-09-09T20:58:56Z</dcterms:modified>
</cp:coreProperties>
</file>